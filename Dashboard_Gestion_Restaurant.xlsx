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affirmativeact-my.sharepoint.com/personal/b_noubissie_affirmativeact_onmicrosoft_com/Documents/Bureau/DASHBOARD_ANALYSE_VENTES_RESTO/"/>
    </mc:Choice>
  </mc:AlternateContent>
  <xr:revisionPtr revIDLastSave="5" documentId="8_{299CB0D9-E0C9-4024-BB25-2572EEC33972}" xr6:coauthVersionLast="47" xr6:coauthVersionMax="47" xr10:uidLastSave="{C26E8318-861D-418E-A2FE-4810ADA8FA11}"/>
  <bookViews>
    <workbookView xWindow="-110" yWindow="-110" windowWidth="19420" windowHeight="10300" xr2:uid="{38FD71CC-B0AB-4A2C-A632-169DC4630297}"/>
  </bookViews>
  <sheets>
    <sheet name="Analyse_Ventes" sheetId="3" r:id="rId1"/>
    <sheet name="Ventes_Brutes" sheetId="1" r:id="rId2"/>
    <sheet name="Stock_Prix" sheetId="2" r:id="rId3"/>
  </sheet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B16" i="3"/>
  <c r="B17" i="3"/>
  <c r="B15" i="3"/>
  <c r="C2" i="3"/>
  <c r="E3" i="1"/>
  <c r="F3" i="1" s="1"/>
  <c r="E4" i="1"/>
  <c r="E5" i="1"/>
  <c r="E6" i="1"/>
  <c r="F6" i="1" s="1"/>
  <c r="E2" i="1"/>
  <c r="F2" i="1" s="1"/>
  <c r="C3" i="1"/>
  <c r="C4" i="1"/>
  <c r="C5" i="1"/>
  <c r="C6" i="1"/>
  <c r="C2" i="1"/>
  <c r="F5" i="1"/>
  <c r="F4" i="1"/>
</calcChain>
</file>

<file path=xl/sharedStrings.xml><?xml version="1.0" encoding="utf-8"?>
<sst xmlns="http://schemas.openxmlformats.org/spreadsheetml/2006/main" count="40" uniqueCount="21">
  <si>
    <t>Date</t>
  </si>
  <si>
    <t>ID Produit</t>
  </si>
  <si>
    <t>Nom du Produit</t>
  </si>
  <si>
    <t>Quantité</t>
  </si>
  <si>
    <t>Prix unitaire</t>
  </si>
  <si>
    <t>Chiffres d'Affaires</t>
  </si>
  <si>
    <t>Canal de Vente</t>
  </si>
  <si>
    <t>PR0D01</t>
  </si>
  <si>
    <t>Menu Complet</t>
  </si>
  <si>
    <t xml:space="preserve">Sur place </t>
  </si>
  <si>
    <t>PR0D02</t>
  </si>
  <si>
    <t>PR0D03</t>
  </si>
  <si>
    <t>Boisson fraiche</t>
  </si>
  <si>
    <t>Dessert Maison</t>
  </si>
  <si>
    <t>A emporter</t>
  </si>
  <si>
    <t>Livraison</t>
  </si>
  <si>
    <t>Cout de revient</t>
  </si>
  <si>
    <t>Étiquettes de lignes</t>
  </si>
  <si>
    <t>Total général</t>
  </si>
  <si>
    <t>Somme de Chiffres d'Affaires</t>
  </si>
  <si>
    <t>Marge Totale Nette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</si>
</sst>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[$€-40C]_-;\-* #,##0.00\ [$€-40C]_-;_-* &quot;-&quot;??\ [$€-40C]_-;_-@_-"/>
    <numFmt numFmtId="165" formatCode="[$€-2]\ #,##0.00;\-[$€-2]\ #,##0.00"/>
    <numFmt numFmtId="166" formatCode="[$€-2]\ #,##0"/>
    <numFmt numFmtId="167" formatCode="#,##0\ [$€-1]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theme="2"/>
      <name val="Segoe UI"/>
      <family val="2"/>
    </font>
    <font>
      <b/>
      <sz val="11"/>
      <color theme="0"/>
      <name val="Segoe UI"/>
      <family val="2"/>
    </font>
    <font>
      <b/>
      <sz val="18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F4F7FA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/>
    <xf numFmtId="0" fontId="1" fillId="0" borderId="0" xfId="0" applyFont="1"/>
    <xf numFmtId="0" fontId="1" fillId="0" borderId="0" xfId="0" applyFont="1" applyBorder="1"/>
    <xf numFmtId="0" fontId="2" fillId="2" borderId="0" xfId="0" applyFont="1" applyFill="1" applyBorder="1"/>
    <xf numFmtId="0" fontId="3" fillId="2" borderId="0" xfId="0" applyFont="1" applyFill="1" applyBorder="1"/>
    <xf numFmtId="0" fontId="1" fillId="3" borderId="0" xfId="0" applyFont="1" applyFill="1" applyBorder="1" applyAlignment="1">
      <alignment horizontal="left"/>
    </xf>
    <xf numFmtId="167" fontId="1" fillId="3" borderId="0" xfId="0" applyNumberFormat="1" applyFont="1" applyFill="1" applyBorder="1"/>
    <xf numFmtId="0" fontId="1" fillId="0" borderId="0" xfId="0" applyFont="1" applyBorder="1" applyAlignment="1">
      <alignment horizontal="left"/>
    </xf>
    <xf numFmtId="167" fontId="1" fillId="0" borderId="0" xfId="0" applyNumberFormat="1" applyFont="1" applyBorder="1"/>
    <xf numFmtId="0" fontId="1" fillId="0" borderId="4" xfId="0" applyFont="1" applyBorder="1" applyAlignment="1">
      <alignment horizontal="left"/>
    </xf>
    <xf numFmtId="167" fontId="1" fillId="0" borderId="4" xfId="0" applyNumberFormat="1" applyFont="1" applyBorder="1"/>
    <xf numFmtId="0" fontId="1" fillId="0" borderId="5" xfId="0" applyFont="1" applyBorder="1" applyAlignment="1">
      <alignment horizontal="left"/>
    </xf>
    <xf numFmtId="167" fontId="1" fillId="0" borderId="5" xfId="0" applyNumberFormat="1" applyFont="1" applyBorder="1"/>
    <xf numFmtId="167" fontId="4" fillId="2" borderId="1" xfId="0" applyNumberFormat="1" applyFont="1" applyFill="1" applyBorder="1" applyAlignment="1">
      <alignment horizontal="center" vertical="center"/>
    </xf>
    <xf numFmtId="167" fontId="4" fillId="2" borderId="2" xfId="0" applyNumberFormat="1" applyFont="1" applyFill="1" applyBorder="1" applyAlignment="1">
      <alignment horizontal="center" vertical="center"/>
    </xf>
    <xf numFmtId="167" fontId="4" fillId="2" borderId="3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75"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ill>
        <patternFill patternType="solid">
          <bgColor rgb="FF1B365D"/>
        </patternFill>
      </fill>
    </dxf>
    <dxf>
      <fill>
        <patternFill patternType="solid">
          <bgColor rgb="FF1B365D"/>
        </patternFill>
      </fill>
    </dxf>
    <dxf>
      <font>
        <sz val="11"/>
      </font>
    </dxf>
    <dxf>
      <font>
        <b val="0"/>
      </font>
    </dxf>
    <dxf>
      <font>
        <sz val="11"/>
      </font>
    </dxf>
    <dxf>
      <font>
        <color theme="2"/>
      </font>
    </dxf>
    <dxf>
      <font>
        <color theme="0"/>
      </font>
    </dxf>
    <dxf>
      <font>
        <b/>
      </font>
    </dxf>
    <dxf>
      <fill>
        <patternFill patternType="solid">
          <bgColor rgb="FFF4F7FA"/>
        </patternFill>
      </fill>
    </dxf>
    <dxf>
      <fill>
        <patternFill patternType="solid">
          <bgColor rgb="FFF4F7FA"/>
        </patternFill>
      </fill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fill>
        <patternFill patternType="solid">
          <bgColor rgb="FFF4F7FA"/>
        </patternFill>
      </fill>
    </dxf>
    <dxf>
      <fill>
        <patternFill patternType="solid">
          <bgColor rgb="FFF4F7FA"/>
        </patternFill>
      </fill>
    </dxf>
    <dxf>
      <font>
        <b/>
      </font>
    </dxf>
    <dxf>
      <font>
        <b/>
      </font>
    </dxf>
    <dxf>
      <font>
        <b val="0"/>
      </font>
    </dxf>
    <dxf>
      <font>
        <color theme="0"/>
      </font>
    </dxf>
    <dxf>
      <font>
        <color theme="0"/>
      </font>
    </dxf>
    <dxf>
      <font>
        <color theme="2"/>
      </font>
    </dxf>
    <dxf>
      <font>
        <sz val="11"/>
      </font>
    </dxf>
    <dxf>
      <font>
        <b val="0"/>
      </font>
    </dxf>
    <dxf>
      <font>
        <b/>
      </font>
    </dxf>
    <dxf>
      <font>
        <b/>
      </font>
    </dxf>
    <dxf>
      <font>
        <b val="0"/>
      </font>
    </dxf>
    <dxf>
      <font>
        <b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1B365D"/>
        </patternFill>
      </fill>
    </dxf>
    <dxf>
      <fill>
        <patternFill patternType="solid">
          <bgColor rgb="FF1B365D"/>
        </patternFill>
      </fill>
    </dxf>
    <dxf>
      <fill>
        <patternFill patternType="solid">
          <bgColor rgb="FF1B365D"/>
        </patternFill>
      </fill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alignment horizontal="center" vertical="bottom" textRotation="0" wrapText="0" indent="0" justifyLastLine="0" shrinkToFit="0" readingOrder="0"/>
    </dxf>
    <dxf>
      <numFmt numFmtId="165" formatCode="[$€-2]\ #,##0.00;\-[$€-2]\ #,##0.00"/>
      <alignment horizontal="center" vertical="bottom" textRotation="0" wrapText="0" indent="0" justifyLastLine="0" shrinkToFit="0" readingOrder="0"/>
    </dxf>
    <dxf>
      <numFmt numFmtId="165" formatCode="[$€-2]\ #,##0.00;\-[$€-2]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B365D"/>
      <color rgb="FFF4F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[Dashboard_Gestion_Restaurant.xlsx]Analyse_Ventes!Tableau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M"/>
              <a:t>Repartition</a:t>
            </a:r>
            <a:r>
              <a:rPr lang="fr-CM" baseline="0"/>
              <a:t> du chiffre d'affaire par produit </a:t>
            </a:r>
            <a:endParaRPr lang="fr-CM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Analyse_Ventes!$B$6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Analyse_Ventes!$A$7:$A$10</c:f>
              <c:strCache>
                <c:ptCount val="3"/>
                <c:pt idx="0">
                  <c:v>A emporter</c:v>
                </c:pt>
                <c:pt idx="1">
                  <c:v>Livraison</c:v>
                </c:pt>
                <c:pt idx="2">
                  <c:v>Sur place </c:v>
                </c:pt>
              </c:strCache>
            </c:strRef>
          </c:cat>
          <c:val>
            <c:numRef>
              <c:f>Analyse_Ventes!$B$7:$B$10</c:f>
              <c:numCache>
                <c:formatCode>#,##0\ [$€-1]</c:formatCode>
                <c:ptCount val="3"/>
                <c:pt idx="0">
                  <c:v>15</c:v>
                </c:pt>
                <c:pt idx="1">
                  <c:v>35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B-4CCE-B41B-9C87D9BA4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7321007"/>
        <c:axId val="1667319567"/>
      </c:barChart>
      <c:catAx>
        <c:axId val="166732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7319567"/>
        <c:crosses val="autoZero"/>
        <c:auto val="1"/>
        <c:lblAlgn val="ctr"/>
        <c:lblOffset val="100"/>
        <c:noMultiLvlLbl val="0"/>
      </c:catAx>
      <c:valAx>
        <c:axId val="166731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[$€-1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732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Analyse_Ventes!$B$14</c:f>
              <c:strCache>
                <c:ptCount val="1"/>
                <c:pt idx="0">
                  <c:v>Somme de Chiffres d'Affaires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Analyse_Ventes!$A$15:$A$17</c:f>
              <c:strCache>
                <c:ptCount val="3"/>
                <c:pt idx="0">
                  <c:v>A emporter</c:v>
                </c:pt>
                <c:pt idx="1">
                  <c:v>Livraison</c:v>
                </c:pt>
                <c:pt idx="2">
                  <c:v>Sur place </c:v>
                </c:pt>
              </c:strCache>
            </c:strRef>
          </c:cat>
          <c:val>
            <c:numRef>
              <c:f>Analyse_Ventes!$B$15:$B$17</c:f>
              <c:numCache>
                <c:formatCode>#,##0\ [$€-1]</c:formatCode>
                <c:ptCount val="3"/>
                <c:pt idx="0">
                  <c:v>15</c:v>
                </c:pt>
                <c:pt idx="1">
                  <c:v>35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7-48EB-ABAC-59370ADB2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831850</xdr:colOff>
      <xdr:row>24</xdr:row>
      <xdr:rowOff>98425</xdr:rowOff>
    </xdr:from>
    <xdr:to>
      <xdr:col>6</xdr:col>
      <xdr:colOff>596900</xdr:colOff>
      <xdr:row>39</xdr:row>
      <xdr:rowOff>66675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F0CDE0C-186B-C14C-F3E0-6C1797F00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454025</xdr:colOff>
      <xdr:row>10</xdr:row>
      <xdr:rowOff>57150</xdr:rowOff>
    </xdr:from>
    <xdr:to>
      <xdr:col>9</xdr:col>
      <xdr:colOff>231775</xdr:colOff>
      <xdr:row>23</xdr:row>
      <xdr:rowOff>69850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18258AB-D733-B10F-720F-FA1293458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is TIENTCHEU NOUBISSIE" refreshedDate="46158.461154050929" createdVersion="8" refreshedVersion="8" minRefreshableVersion="3" recordCount="5" xr:uid="{FFB8BD83-8236-4527-B1E2-2713DAF454C7}">
  <cacheSource type="worksheet">
    <worksheetSource name="Tableau1"/>
  </cacheSource>
  <cacheFields count="7">
    <cacheField name="Date" numFmtId="14">
      <sharedItems containsSemiMixedTypes="0" containsNonDate="0" containsDate="1" containsString="0" minDate="2026-05-01T00:00:00" maxDate="2026-05-05T00:00:00"/>
    </cacheField>
    <cacheField name="ID Produit" numFmtId="0">
      <sharedItems/>
    </cacheField>
    <cacheField name="Nom du Produit" numFmtId="0">
      <sharedItems count="3">
        <s v="Menu Complet"/>
        <s v="Boisson fraiche"/>
        <s v="Dessert Maison"/>
      </sharedItems>
    </cacheField>
    <cacheField name="Quantité" numFmtId="0">
      <sharedItems containsSemiMixedTypes="0" containsString="0" containsNumber="1" containsInteger="1" minValue="1" maxValue="10"/>
    </cacheField>
    <cacheField name="Prix unitaire" numFmtId="165">
      <sharedItems containsSemiMixedTypes="0" containsString="0" containsNumber="1" containsInteger="1" minValue="3" maxValue="15"/>
    </cacheField>
    <cacheField name="Chiffres d'Affaires" numFmtId="165">
      <sharedItems containsSemiMixedTypes="0" containsString="0" containsNumber="1" containsInteger="1" minValue="5" maxValue="60"/>
    </cacheField>
    <cacheField name="Canal de Vente" numFmtId="0">
      <sharedItems count="3">
        <s v="Sur place "/>
        <s v="A emporter"/>
        <s v="Livrais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d v="2026-05-01T00:00:00"/>
    <s v="PR0D01"/>
    <x v="0"/>
    <n v="2"/>
    <n v="15"/>
    <n v="30"/>
    <x v="0"/>
  </r>
  <r>
    <d v="2026-05-02T00:00:00"/>
    <s v="PR0D02"/>
    <x v="1"/>
    <n v="5"/>
    <n v="3"/>
    <n v="15"/>
    <x v="1"/>
  </r>
  <r>
    <d v="2026-05-02T00:00:00"/>
    <s v="PR0D03"/>
    <x v="2"/>
    <n v="1"/>
    <n v="5"/>
    <n v="5"/>
    <x v="2"/>
  </r>
  <r>
    <d v="2026-05-03T00:00:00"/>
    <s v="PR0D01"/>
    <x v="0"/>
    <n v="4"/>
    <n v="15"/>
    <n v="60"/>
    <x v="0"/>
  </r>
  <r>
    <d v="2026-05-04T00:00:00"/>
    <s v="PR0D02"/>
    <x v="1"/>
    <n v="10"/>
    <n v="3"/>
    <n v="3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4E6D2-8922-4604-93AA-BCB9FD0831FC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A6:B10" firstHeaderRow="1" firstDataRow="1" firstDataCol="1"/>
  <pivotFields count="7">
    <pivotField numFmtId="14" showAll="0"/>
    <pivotField showAll="0"/>
    <pivotField showAll="0">
      <items count="4">
        <item x="1"/>
        <item x="2"/>
        <item x="0"/>
        <item t="default"/>
      </items>
    </pivotField>
    <pivotField showAll="0"/>
    <pivotField numFmtId="165" showAll="0"/>
    <pivotField dataField="1" numFmtId="165" showAll="0"/>
    <pivotField axis="axisRow" showAll="0">
      <items count="4">
        <item x="1"/>
        <item x="2"/>
        <item x="0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Chiffres d'Affaires" fld="5" baseField="0" baseItem="0" numFmtId="167"/>
  </dataFields>
  <formats count="26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6" type="button" dataOnly="0" labelOnly="1" outline="0" axis="axisRow" fieldPosition="0"/>
    </format>
    <format dxfId="62">
      <pivotArea dataOnly="0" labelOnly="1" fieldPosition="0">
        <references count="1">
          <reference field="6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  <format dxfId="58">
      <pivotArea field="6" type="button" dataOnly="0" labelOnly="1" outline="0" axis="axisRow" fieldPosition="0"/>
    </format>
    <format dxfId="57">
      <pivotArea dataOnly="0" labelOnly="1" outline="0" axis="axisValues" fieldPosition="0"/>
    </format>
    <format dxfId="52">
      <pivotArea dataOnly="0" labelOnly="1" outline="0" axis="axisValues" fieldPosition="0"/>
    </format>
    <format dxfId="49">
      <pivotArea field="6" type="button" dataOnly="0" labelOnly="1" outline="0" axis="axisRow" fieldPosition="0"/>
    </format>
    <format dxfId="45">
      <pivotArea field="6" type="button" dataOnly="0" labelOnly="1" outline="0" axis="axisRow" fieldPosition="0"/>
    </format>
    <format dxfId="44">
      <pivotArea field="6" type="button" dataOnly="0" labelOnly="1" outline="0" axis="axisRow" fieldPosition="0"/>
    </format>
    <format dxfId="43">
      <pivotArea dataOnly="0" labelOnly="1" outline="0" axis="axisValues" fieldPosition="0"/>
    </format>
    <format dxfId="40">
      <pivotArea dataOnly="0" labelOnly="1" outline="0" axis="axisValues" fieldPosition="0"/>
    </format>
    <format dxfId="38">
      <pivotArea collapsedLevelsAreSubtotals="1" fieldPosition="0">
        <references count="1">
          <reference field="6" count="1">
            <x v="0"/>
          </reference>
        </references>
      </pivotArea>
    </format>
    <format dxfId="37">
      <pivotArea dataOnly="0" labelOnly="1" fieldPosition="0">
        <references count="1">
          <reference field="6" count="1">
            <x v="0"/>
          </reference>
        </references>
      </pivotArea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6" type="button" dataOnly="0" labelOnly="1" outline="0" axis="axisRow" fieldPosition="0"/>
    </format>
    <format dxfId="33">
      <pivotArea dataOnly="0" labelOnly="1" fieldPosition="0">
        <references count="1">
          <reference field="6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  <format dxfId="29">
      <pivotArea collapsedLevelsAreSubtotals="1" fieldPosition="0">
        <references count="1">
          <reference field="6" count="1">
            <x v="2"/>
          </reference>
        </references>
      </pivotArea>
    </format>
    <format dxfId="28">
      <pivotArea dataOnly="0" labelOnly="1" fieldPosition="0">
        <references count="1">
          <reference field="6" count="1">
            <x v="2"/>
          </reference>
        </references>
      </pivotArea>
    </format>
    <format dxfId="27">
      <pivotArea grandRow="1" outline="0" collapsedLevelsAreSubtotals="1" fieldPosition="0"/>
    </format>
    <format dxfId="26">
      <pivotArea dataOnly="0" labelOnly="1" grandRow="1" outline="0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139CB4-D64E-49D7-974B-1653309F31A8}" name="Tableau1" displayName="Tableau1" ref="A1:G6" totalsRowShown="0" headerRowDxfId="74" dataDxfId="73">
  <autoFilter ref="A1:G6" xr:uid="{A4139CB4-D64E-49D7-974B-1653309F31A8}"/>
  <tableColumns count="7">
    <tableColumn id="1" xr3:uid="{5073F149-DA92-4620-A20F-602B7FDBC2BA}" name="Date" dataDxfId="72"/>
    <tableColumn id="2" xr3:uid="{7EC931E3-1BB9-4949-BE0C-5040672532F4}" name="ID Produit" dataDxfId="71"/>
    <tableColumn id="3" xr3:uid="{C4FEDC72-590F-4079-B520-C913F3B390FA}" name="Nom du Produit" dataDxfId="70">
      <calculatedColumnFormula>_xlfn.XLOOKUP(B2, Stock_Prix!A:A, Stock_Prix!B:B)</calculatedColumnFormula>
    </tableColumn>
    <tableColumn id="4" xr3:uid="{B8E7BEBB-9E80-4FB2-ACAA-D9C077F071AD}" name="Quantité" dataDxfId="69"/>
    <tableColumn id="5" xr3:uid="{B78ED13A-E6E8-4501-8BA9-2C1002D08AF2}" name="Prix unitaire" dataDxfId="68">
      <calculatedColumnFormula>_xlfn.XLOOKUP(B2,Stock_Prix!A:A, Stock_Prix!C:C)</calculatedColumnFormula>
    </tableColumn>
    <tableColumn id="6" xr3:uid="{9C314097-A5BF-4AB5-9466-D4B6FDE57A22}" name="Chiffres d'Affaires" dataDxfId="67">
      <calculatedColumnFormula>D2*E2</calculatedColumnFormula>
    </tableColumn>
    <tableColumn id="7" xr3:uid="{976EBEC1-BE8F-4708-B8EF-D49030CF1115}" name="Canal de Vente" dataDxfId="6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1DA5D-21EC-4ED4-98CE-7AC9CAA3BF52}">
  <dimension ref="A1:C18"/>
  <sheetViews>
    <sheetView tabSelected="1" topLeftCell="A25" workbookViewId="0">
      <selection activeCell="A11" sqref="A11"/>
    </sheetView>
  </sheetViews>
  <sheetFormatPr baseColWidth="10" defaultRowHeight="16.5" x14ac:dyDescent="0.45"/>
  <cols>
    <col min="1" max="1" width="23.08984375" style="7" customWidth="1"/>
    <col min="2" max="2" width="28.54296875" style="7" customWidth="1"/>
    <col min="3" max="3" width="20.453125" style="7" customWidth="1"/>
    <col min="4" max="4" width="13.26953125" style="7" bestFit="1" customWidth="1"/>
    <col min="5" max="5" width="11.7265625" style="7" bestFit="1" customWidth="1"/>
    <col min="6" max="16384" width="10.90625" style="7"/>
  </cols>
  <sheetData>
    <row r="1" spans="1:3" ht="17" thickBot="1" x14ac:dyDescent="0.5">
      <c r="A1" s="8"/>
      <c r="B1" s="8"/>
      <c r="C1" s="22" t="s">
        <v>20</v>
      </c>
    </row>
    <row r="2" spans="1:3" ht="14.5" customHeight="1" x14ac:dyDescent="0.45">
      <c r="A2" s="8"/>
      <c r="B2" s="8"/>
      <c r="C2" s="19">
        <f>(Ventes_Brutes!D2*(Stock_Prix!C2-Stock_Prix!D2))+(Ventes_Brutes!D3*(Stock_Prix!C3-Stock_Prix!D3))+(Ventes_Brutes!D4*(Stock_Prix!C2-Stock_Prix!D2))+(Ventes_Brutes!D5*(Stock_Prix!C4-Stock_Prix!D4))+(Ventes_Brutes!D6*(Stock_Prix!C3-Stock_Prix!D3))</f>
        <v>74</v>
      </c>
    </row>
    <row r="3" spans="1:3" ht="14.5" customHeight="1" x14ac:dyDescent="0.45">
      <c r="A3" s="8"/>
      <c r="B3" s="8"/>
      <c r="C3" s="20"/>
    </row>
    <row r="4" spans="1:3" ht="15" customHeight="1" thickBot="1" x14ac:dyDescent="0.5">
      <c r="A4" s="8"/>
      <c r="B4" s="8"/>
      <c r="C4" s="21"/>
    </row>
    <row r="5" spans="1:3" x14ac:dyDescent="0.45">
      <c r="A5" s="8"/>
      <c r="B5" s="8"/>
    </row>
    <row r="6" spans="1:3" x14ac:dyDescent="0.45">
      <c r="A6" s="9" t="s">
        <v>17</v>
      </c>
      <c r="B6" s="10" t="s">
        <v>19</v>
      </c>
    </row>
    <row r="7" spans="1:3" x14ac:dyDescent="0.45">
      <c r="A7" s="11" t="s">
        <v>14</v>
      </c>
      <c r="B7" s="12">
        <v>15</v>
      </c>
    </row>
    <row r="8" spans="1:3" x14ac:dyDescent="0.45">
      <c r="A8" s="13" t="s">
        <v>15</v>
      </c>
      <c r="B8" s="14">
        <v>35</v>
      </c>
    </row>
    <row r="9" spans="1:3" x14ac:dyDescent="0.45">
      <c r="A9" s="15" t="s">
        <v>9</v>
      </c>
      <c r="B9" s="16">
        <v>90</v>
      </c>
    </row>
    <row r="10" spans="1:3" ht="17" thickBot="1" x14ac:dyDescent="0.5">
      <c r="A10" s="17" t="s">
        <v>18</v>
      </c>
      <c r="B10" s="18">
        <v>140</v>
      </c>
    </row>
    <row r="11" spans="1:3" ht="17" thickTop="1" x14ac:dyDescent="0.45">
      <c r="A11" s="13"/>
      <c r="B11" s="14"/>
    </row>
    <row r="12" spans="1:3" x14ac:dyDescent="0.45">
      <c r="A12" s="13"/>
      <c r="B12" s="14"/>
    </row>
    <row r="14" spans="1:3" x14ac:dyDescent="0.45">
      <c r="A14" t="s">
        <v>17</v>
      </c>
      <c r="B14" t="s">
        <v>19</v>
      </c>
    </row>
    <row r="15" spans="1:3" x14ac:dyDescent="0.45">
      <c r="A15" t="s">
        <v>14</v>
      </c>
      <c r="B15" s="6">
        <f>SUMIF(Ventes_Brutes!G:G, A15, Ventes_Brutes!F:F)</f>
        <v>15</v>
      </c>
    </row>
    <row r="16" spans="1:3" x14ac:dyDescent="0.45">
      <c r="A16" t="s">
        <v>15</v>
      </c>
      <c r="B16" s="6">
        <f>SUMIF(Ventes_Brutes!G:G, A16, Ventes_Brutes!F:F)</f>
        <v>35</v>
      </c>
    </row>
    <row r="17" spans="1:2" x14ac:dyDescent="0.45">
      <c r="A17" t="s">
        <v>9</v>
      </c>
      <c r="B17" s="6">
        <f>SUMIF(Ventes_Brutes!G:G, A17, Ventes_Brutes!F:F)</f>
        <v>90</v>
      </c>
    </row>
    <row r="18" spans="1:2" x14ac:dyDescent="0.45">
      <c r="A18" t="s">
        <v>18</v>
      </c>
      <c r="B18" s="6">
        <f>SUM(B15:B17)</f>
        <v>140</v>
      </c>
    </row>
  </sheetData>
  <mergeCells count="1">
    <mergeCell ref="C2:C4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AE5F-1467-449B-BF1D-16EE74E036B7}">
  <dimension ref="A1:G6"/>
  <sheetViews>
    <sheetView zoomScale="94" workbookViewId="0">
      <selection activeCell="A2" sqref="A2"/>
    </sheetView>
  </sheetViews>
  <sheetFormatPr baseColWidth="10" defaultRowHeight="14.5" x14ac:dyDescent="0.35"/>
  <cols>
    <col min="2" max="2" width="11.08984375" customWidth="1"/>
    <col min="3" max="3" width="16.08984375" customWidth="1"/>
    <col min="5" max="5" width="13.90625" customWidth="1"/>
    <col min="6" max="6" width="18.36328125" customWidth="1"/>
    <col min="7" max="7" width="15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</row>
    <row r="2" spans="1:7" x14ac:dyDescent="0.35">
      <c r="A2" s="2">
        <v>46143</v>
      </c>
      <c r="B2" s="1" t="s">
        <v>7</v>
      </c>
      <c r="C2" s="1" t="str">
        <f>_xlfn.XLOOKUP(B2, Stock_Prix!A:A, Stock_Prix!B:B)</f>
        <v>Menu Complet</v>
      </c>
      <c r="D2" s="1">
        <v>2</v>
      </c>
      <c r="E2" s="4">
        <f>_xlfn.XLOOKUP(B2,Stock_Prix!A:A, Stock_Prix!C:C)</f>
        <v>15</v>
      </c>
      <c r="F2" s="4">
        <f>D2*E2</f>
        <v>30</v>
      </c>
      <c r="G2" s="1" t="s">
        <v>9</v>
      </c>
    </row>
    <row r="3" spans="1:7" x14ac:dyDescent="0.35">
      <c r="A3" s="2">
        <v>46144</v>
      </c>
      <c r="B3" s="1" t="s">
        <v>10</v>
      </c>
      <c r="C3" s="1" t="str">
        <f>_xlfn.XLOOKUP(B3, Stock_Prix!A:A, Stock_Prix!B:B)</f>
        <v>Boisson fraiche</v>
      </c>
      <c r="D3" s="1">
        <v>5</v>
      </c>
      <c r="E3" s="4">
        <f>_xlfn.XLOOKUP(B3,Stock_Prix!A:A, Stock_Prix!C:C)</f>
        <v>3</v>
      </c>
      <c r="F3" s="4">
        <f t="shared" ref="F3:F6" si="0">D3*E3</f>
        <v>15</v>
      </c>
      <c r="G3" s="1" t="s">
        <v>14</v>
      </c>
    </row>
    <row r="4" spans="1:7" x14ac:dyDescent="0.35">
      <c r="A4" s="2">
        <v>46144</v>
      </c>
      <c r="B4" s="1" t="s">
        <v>11</v>
      </c>
      <c r="C4" s="1" t="str">
        <f>_xlfn.XLOOKUP(B4, Stock_Prix!A:A, Stock_Prix!B:B)</f>
        <v>Dessert Maison</v>
      </c>
      <c r="D4" s="1">
        <v>1</v>
      </c>
      <c r="E4" s="4">
        <f>_xlfn.XLOOKUP(B4,Stock_Prix!A:A, Stock_Prix!C:C)</f>
        <v>5</v>
      </c>
      <c r="F4" s="4">
        <f t="shared" si="0"/>
        <v>5</v>
      </c>
      <c r="G4" s="1" t="s">
        <v>15</v>
      </c>
    </row>
    <row r="5" spans="1:7" x14ac:dyDescent="0.35">
      <c r="A5" s="2">
        <v>46145</v>
      </c>
      <c r="B5" s="1" t="s">
        <v>7</v>
      </c>
      <c r="C5" s="1" t="str">
        <f>_xlfn.XLOOKUP(B5, Stock_Prix!A:A, Stock_Prix!B:B)</f>
        <v>Menu Complet</v>
      </c>
      <c r="D5" s="1">
        <v>4</v>
      </c>
      <c r="E5" s="4">
        <f>_xlfn.XLOOKUP(B5,Stock_Prix!A:A, Stock_Prix!C:C)</f>
        <v>15</v>
      </c>
      <c r="F5" s="4">
        <f>D5*E5</f>
        <v>60</v>
      </c>
      <c r="G5" s="1" t="s">
        <v>9</v>
      </c>
    </row>
    <row r="6" spans="1:7" x14ac:dyDescent="0.35">
      <c r="A6" s="2">
        <v>46146</v>
      </c>
      <c r="B6" s="1" t="s">
        <v>10</v>
      </c>
      <c r="C6" s="1" t="str">
        <f>_xlfn.XLOOKUP(B6, Stock_Prix!A:A, Stock_Prix!B:B)</f>
        <v>Boisson fraiche</v>
      </c>
      <c r="D6" s="1">
        <v>10</v>
      </c>
      <c r="E6" s="4">
        <f>_xlfn.XLOOKUP(B6,Stock_Prix!A:A, Stock_Prix!C:C)</f>
        <v>3</v>
      </c>
      <c r="F6" s="4">
        <f t="shared" si="0"/>
        <v>30</v>
      </c>
      <c r="G6" s="1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93A9-E0BB-4A42-9324-E0A7E95144DE}">
  <dimension ref="A1:D4"/>
  <sheetViews>
    <sheetView workbookViewId="0">
      <selection activeCell="F13" sqref="F13"/>
    </sheetView>
  </sheetViews>
  <sheetFormatPr baseColWidth="10" defaultRowHeight="14.5" x14ac:dyDescent="0.35"/>
  <cols>
    <col min="2" max="2" width="14.26953125" customWidth="1"/>
    <col min="4" max="4" width="14.36328125" customWidth="1"/>
  </cols>
  <sheetData>
    <row r="1" spans="1:4" x14ac:dyDescent="0.35">
      <c r="A1" s="1" t="s">
        <v>1</v>
      </c>
      <c r="B1" s="1" t="s">
        <v>2</v>
      </c>
      <c r="C1" s="1" t="s">
        <v>4</v>
      </c>
      <c r="D1" s="1" t="s">
        <v>16</v>
      </c>
    </row>
    <row r="2" spans="1:4" x14ac:dyDescent="0.35">
      <c r="A2" s="1" t="s">
        <v>7</v>
      </c>
      <c r="B2" s="1" t="s">
        <v>8</v>
      </c>
      <c r="C2" s="5">
        <v>15</v>
      </c>
      <c r="D2" s="5">
        <v>5</v>
      </c>
    </row>
    <row r="3" spans="1:4" x14ac:dyDescent="0.35">
      <c r="A3" s="1" t="s">
        <v>10</v>
      </c>
      <c r="B3" s="1" t="s">
        <v>12</v>
      </c>
      <c r="C3" s="5">
        <v>3</v>
      </c>
      <c r="D3" s="5">
        <v>1</v>
      </c>
    </row>
    <row r="4" spans="1:4" x14ac:dyDescent="0.35">
      <c r="A4" s="1" t="s">
        <v>11</v>
      </c>
      <c r="B4" s="1" t="s">
        <v>13</v>
      </c>
      <c r="C4" s="5">
        <v>5</v>
      </c>
      <c r="D4" s="5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Analyse_Ventes</vt:lpstr>
      <vt:lpstr>Ventes_Brutes</vt:lpstr>
      <vt:lpstr>Stock_Prix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TIENTCHEU NOUBISSIE</dc:creator>
  <cp:lastModifiedBy>Boris TIENTCHEU NOUBISSIE</cp:lastModifiedBy>
  <dcterms:created xsi:type="dcterms:W3CDTF">2026-05-16T07:45:16Z</dcterms:created>
  <dcterms:modified xsi:type="dcterms:W3CDTF">2026-05-17T12:25:30Z</dcterms:modified>
</cp:coreProperties>
</file>